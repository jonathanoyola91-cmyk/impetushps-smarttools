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yol\cotizador\"/>
    </mc:Choice>
  </mc:AlternateContent>
  <xr:revisionPtr revIDLastSave="0" documentId="13_ncr:1_{7D2326C2-E13D-4274-918A-A211909CF723}" xr6:coauthVersionLast="47" xr6:coauthVersionMax="47" xr10:uidLastSave="{00000000-0000-0000-0000-000000000000}"/>
  <bookViews>
    <workbookView xWindow="10356" yWindow="0" windowWidth="12744" windowHeight="12336" firstSheet="1" activeTab="2" xr2:uid="{00000000-000D-0000-FFFF-FFFF00000000}"/>
  </bookViews>
  <sheets>
    <sheet name="clientes" sheetId="1" r:id="rId1"/>
    <sheet name="equipos_base" sheetId="2" r:id="rId2"/>
    <sheet name="curvas_operacion" sheetId="11" r:id="rId3"/>
    <sheet name="variadores" sheetId="5" r:id="rId4"/>
    <sheet name="motores" sheetId="3" r:id="rId5"/>
    <sheet name="acoples" sheetId="4" r:id="rId6"/>
    <sheet name="Camara de empuje" sheetId="10" r:id="rId7"/>
    <sheet name="conexiones" sheetId="6" r:id="rId8"/>
    <sheet name="extras_opcionales" sheetId="8" r:id="rId9"/>
    <sheet name="parametros_generales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0" l="1"/>
  <c r="G4" i="10"/>
  <c r="G5" i="10"/>
  <c r="G2" i="10"/>
  <c r="C3" i="10"/>
  <c r="C4" i="10"/>
  <c r="C5" i="10"/>
  <c r="C2" i="10"/>
  <c r="F3" i="10"/>
  <c r="F4" i="10"/>
  <c r="F2" i="10"/>
</calcChain>
</file>

<file path=xl/sharedStrings.xml><?xml version="1.0" encoding="utf-8"?>
<sst xmlns="http://schemas.openxmlformats.org/spreadsheetml/2006/main" count="242" uniqueCount="143">
  <si>
    <t>empresa</t>
  </si>
  <si>
    <t>contacto</t>
  </si>
  <si>
    <t>correo</t>
  </si>
  <si>
    <t>telefono</t>
  </si>
  <si>
    <t>ciudad</t>
  </si>
  <si>
    <t>id_equipo</t>
  </si>
  <si>
    <t>nombre_equipo</t>
  </si>
  <si>
    <t>bomba</t>
  </si>
  <si>
    <t>camara_empuje</t>
  </si>
  <si>
    <t>potencia_hp</t>
  </si>
  <si>
    <t>precio_base</t>
  </si>
  <si>
    <t>tiempo_base_dias</t>
  </si>
  <si>
    <t>id_motor</t>
  </si>
  <si>
    <t>marca</t>
  </si>
  <si>
    <t>tipo</t>
  </si>
  <si>
    <t>voltaje</t>
  </si>
  <si>
    <t>precio_adicional</t>
  </si>
  <si>
    <t>tiempo_adicional</t>
  </si>
  <si>
    <t>id_acople</t>
  </si>
  <si>
    <t>id_variador</t>
  </si>
  <si>
    <t>id_conexion</t>
  </si>
  <si>
    <t>diametro</t>
  </si>
  <si>
    <t>ansi</t>
  </si>
  <si>
    <t>id_extra</t>
  </si>
  <si>
    <t>nombre</t>
  </si>
  <si>
    <t>parametro</t>
  </si>
  <si>
    <t>valor</t>
  </si>
  <si>
    <t>CHR 7800-48STG</t>
  </si>
  <si>
    <t>Modelo</t>
  </si>
  <si>
    <t>Capacidad</t>
  </si>
  <si>
    <t>OHK</t>
  </si>
  <si>
    <t>OHF</t>
  </si>
  <si>
    <t>OHB</t>
  </si>
  <si>
    <t>OHG</t>
  </si>
  <si>
    <t>30000 LBS</t>
  </si>
  <si>
    <t>18000 LBS</t>
  </si>
  <si>
    <t>12000 LBS</t>
  </si>
  <si>
    <t>6000 LBS</t>
  </si>
  <si>
    <t>OIL COOLER</t>
  </si>
  <si>
    <t>SI</t>
  </si>
  <si>
    <t>NO</t>
  </si>
  <si>
    <t>COOLER</t>
  </si>
  <si>
    <t>12KW</t>
  </si>
  <si>
    <t>PRECIO</t>
  </si>
  <si>
    <t>TOTAL</t>
  </si>
  <si>
    <t>caudal_min_bpd</t>
  </si>
  <si>
    <t>caudal_max_bpd</t>
  </si>
  <si>
    <t>ps_min_psi</t>
  </si>
  <si>
    <t>ps_max_psi</t>
  </si>
  <si>
    <t>pd_min_psi</t>
  </si>
  <si>
    <t>pd_max_psi</t>
  </si>
  <si>
    <t>CHR 7800-70STG</t>
  </si>
  <si>
    <t>CHR 7800-35-35 STG</t>
  </si>
  <si>
    <t>CHR 7800-39-39 STG</t>
  </si>
  <si>
    <t>CHR 7800-78STG</t>
  </si>
  <si>
    <t>VSD1</t>
  </si>
  <si>
    <t>VSD2</t>
  </si>
  <si>
    <t>VSD3</t>
  </si>
  <si>
    <t>IMPETUS</t>
  </si>
  <si>
    <t>SMART PROCESS</t>
  </si>
  <si>
    <t>voltaje_entrada</t>
  </si>
  <si>
    <t>voltaje_salida</t>
  </si>
  <si>
    <t>YASKAWA</t>
  </si>
  <si>
    <t>precio_adicional_USD</t>
  </si>
  <si>
    <t>8 week</t>
  </si>
  <si>
    <t>14 week</t>
  </si>
  <si>
    <t>mt001</t>
  </si>
  <si>
    <t>mt002</t>
  </si>
  <si>
    <t>mt003</t>
  </si>
  <si>
    <t>Teco Westinghouse</t>
  </si>
  <si>
    <t>tefc</t>
  </si>
  <si>
    <t>10 week</t>
  </si>
  <si>
    <t>ac001</t>
  </si>
  <si>
    <t>ac002</t>
  </si>
  <si>
    <t>ac003</t>
  </si>
  <si>
    <t>PSC</t>
  </si>
  <si>
    <t>Espaciador 7"</t>
  </si>
  <si>
    <t>Dogde</t>
  </si>
  <si>
    <t>1080T31</t>
  </si>
  <si>
    <t>4 week</t>
  </si>
  <si>
    <t>Dólar</t>
  </si>
  <si>
    <t>br001</t>
  </si>
  <si>
    <t>br002</t>
  </si>
  <si>
    <t>br003</t>
  </si>
  <si>
    <t>br004</t>
  </si>
  <si>
    <t>br005</t>
  </si>
  <si>
    <t>br006</t>
  </si>
  <si>
    <t>br007</t>
  </si>
  <si>
    <t>succion</t>
  </si>
  <si>
    <t>descarga</t>
  </si>
  <si>
    <t>3"</t>
  </si>
  <si>
    <t>4"</t>
  </si>
  <si>
    <t>6"</t>
  </si>
  <si>
    <t>8"</t>
  </si>
  <si>
    <t>br008</t>
  </si>
  <si>
    <t>br009</t>
  </si>
  <si>
    <t>br010</t>
  </si>
  <si>
    <t>br011</t>
  </si>
  <si>
    <t>br012</t>
  </si>
  <si>
    <t>br013</t>
  </si>
  <si>
    <t>br014</t>
  </si>
  <si>
    <t>br015</t>
  </si>
  <si>
    <t>br016</t>
  </si>
  <si>
    <t>EQ001</t>
  </si>
  <si>
    <t>EQ002</t>
  </si>
  <si>
    <t>EQ003</t>
  </si>
  <si>
    <t>EQ004</t>
  </si>
  <si>
    <t>Ins001</t>
  </si>
  <si>
    <t>Ins002</t>
  </si>
  <si>
    <t>Ins003</t>
  </si>
  <si>
    <t>Ins004</t>
  </si>
  <si>
    <t>Ins005</t>
  </si>
  <si>
    <t>Instrumentacion basica</t>
  </si>
  <si>
    <t>Instrumentacion Alta</t>
  </si>
  <si>
    <t>Instrumentacion media</t>
  </si>
  <si>
    <t>id_punto</t>
  </si>
  <si>
    <t>caudal</t>
  </si>
  <si>
    <t>dp_requerida</t>
  </si>
  <si>
    <t>carga_camara</t>
  </si>
  <si>
    <t>P001</t>
  </si>
  <si>
    <t>P002</t>
  </si>
  <si>
    <t>P003</t>
  </si>
  <si>
    <t>P004</t>
  </si>
  <si>
    <t>P005</t>
  </si>
  <si>
    <t>P006</t>
  </si>
  <si>
    <t>P007</t>
  </si>
  <si>
    <t>CHR 7800-84STG</t>
  </si>
  <si>
    <t>CHR 7800-42-42 STG</t>
  </si>
  <si>
    <t xml:space="preserve"> carga_camara_max</t>
  </si>
  <si>
    <t>eficiencia_pct</t>
  </si>
  <si>
    <t>P008</t>
  </si>
  <si>
    <t>P009</t>
  </si>
  <si>
    <t>P010</t>
  </si>
  <si>
    <t>P011</t>
  </si>
  <si>
    <t>P012</t>
  </si>
  <si>
    <t>tipo_punto</t>
  </si>
  <si>
    <t>NOMINAL</t>
  </si>
  <si>
    <t>BAJA_EFICIENCIA</t>
  </si>
  <si>
    <t>ALTO_CAUDAL</t>
  </si>
  <si>
    <t>longitud_total_mm</t>
  </si>
  <si>
    <t>CHR 7800-42STG</t>
  </si>
  <si>
    <t>potencia_hp_min</t>
  </si>
  <si>
    <t>potencia_hp_max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</si>
</sst>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2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topLeftCell="E1" workbookViewId="0">
      <selection activeCell="F1" sqref="F1"/>
    </sheetView>
  </sheetViews>
  <sheetFormatPr baseColWidth="10" defaultColWidth="8.88671875" defaultRowHeight="14.4" x14ac:dyDescent="0.3"/>
  <cols>
    <col min="2" max="2" width="15.6640625" customWidth="1"/>
    <col min="3" max="3" width="18" customWidth="1"/>
    <col min="4" max="4" width="15" customWidth="1"/>
    <col min="5" max="5" width="17.33203125" customWidth="1"/>
    <col min="6" max="6" width="14.109375" customWidth="1"/>
    <col min="7" max="7" width="16.21875" customWidth="1"/>
    <col min="8" max="8" width="13.5546875" customWidth="1"/>
    <col min="9" max="9" width="12.5546875" customWidth="1"/>
    <col min="10" max="10" width="12.33203125" customWidth="1"/>
    <col min="11" max="11" width="12.109375" customWidth="1"/>
    <col min="12" max="12" width="12" customWidth="1"/>
    <col min="13" max="13" width="11.109375" customWidth="1"/>
    <col min="14" max="14" width="16.6640625" bestFit="1" customWidth="1"/>
    <col min="15" max="15" width="13.109375" customWidth="1"/>
    <col min="16" max="16" width="17.21875" customWidth="1"/>
  </cols>
  <sheetData>
    <row r="1" spans="1:16" x14ac:dyDescent="0.3">
      <c r="A1" t="s">
        <v>5</v>
      </c>
      <c r="B1" t="s">
        <v>6</v>
      </c>
      <c r="C1" t="s">
        <v>7</v>
      </c>
      <c r="D1" t="s">
        <v>8</v>
      </c>
      <c r="E1" t="s">
        <v>128</v>
      </c>
      <c r="F1" t="s">
        <v>141</v>
      </c>
      <c r="G1" t="s">
        <v>142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139</v>
      </c>
      <c r="O1" t="s">
        <v>10</v>
      </c>
      <c r="P1" t="s">
        <v>11</v>
      </c>
    </row>
    <row r="2" spans="1:16" x14ac:dyDescent="0.3">
      <c r="A2" s="4" t="s">
        <v>103</v>
      </c>
      <c r="B2" s="4" t="s">
        <v>27</v>
      </c>
      <c r="C2" s="4" t="s">
        <v>140</v>
      </c>
      <c r="D2" s="4" t="s">
        <v>31</v>
      </c>
      <c r="E2" s="4">
        <v>8000</v>
      </c>
      <c r="F2" s="4">
        <v>200</v>
      </c>
      <c r="G2" s="4">
        <v>400</v>
      </c>
      <c r="H2" s="4">
        <v>2500</v>
      </c>
      <c r="I2" s="4">
        <v>9000</v>
      </c>
      <c r="J2" s="4">
        <v>30</v>
      </c>
      <c r="K2" s="4">
        <v>180</v>
      </c>
      <c r="L2" s="4">
        <v>500</v>
      </c>
      <c r="M2" s="4">
        <v>1800</v>
      </c>
      <c r="N2" s="4">
        <v>10200</v>
      </c>
      <c r="O2" s="4"/>
      <c r="P2" s="4"/>
    </row>
    <row r="3" spans="1:16" x14ac:dyDescent="0.3">
      <c r="A3" s="4" t="s">
        <v>104</v>
      </c>
      <c r="B3" s="4" t="s">
        <v>51</v>
      </c>
      <c r="C3" s="4" t="s">
        <v>52</v>
      </c>
      <c r="D3" s="4" t="s">
        <v>32</v>
      </c>
      <c r="E3" s="4">
        <v>10000</v>
      </c>
      <c r="F3" s="4">
        <v>400</v>
      </c>
      <c r="G3" s="4">
        <v>600</v>
      </c>
      <c r="H3" s="4">
        <v>4000</v>
      </c>
      <c r="I3" s="4">
        <v>9000</v>
      </c>
      <c r="J3" s="4">
        <v>30</v>
      </c>
      <c r="K3" s="4">
        <v>180</v>
      </c>
      <c r="L3" s="4">
        <v>800</v>
      </c>
      <c r="M3" s="4">
        <v>3000</v>
      </c>
      <c r="N3" s="4"/>
    </row>
    <row r="4" spans="1:16" x14ac:dyDescent="0.3">
      <c r="A4" s="4" t="s">
        <v>105</v>
      </c>
      <c r="B4" s="4" t="s">
        <v>54</v>
      </c>
      <c r="C4" s="4" t="s">
        <v>53</v>
      </c>
      <c r="D4" s="4" t="s">
        <v>32</v>
      </c>
      <c r="E4" s="4">
        <v>18000</v>
      </c>
      <c r="F4" s="4">
        <v>500</v>
      </c>
      <c r="G4" s="4">
        <v>700</v>
      </c>
      <c r="H4" s="4">
        <v>2500</v>
      </c>
      <c r="I4" s="4">
        <v>9000</v>
      </c>
      <c r="J4" s="4">
        <v>30</v>
      </c>
      <c r="K4" s="4">
        <v>180</v>
      </c>
      <c r="L4" s="4">
        <v>1200</v>
      </c>
      <c r="M4" s="4">
        <v>3400</v>
      </c>
      <c r="N4" s="4"/>
    </row>
    <row r="5" spans="1:16" x14ac:dyDescent="0.3">
      <c r="A5" s="4" t="s">
        <v>106</v>
      </c>
      <c r="B5" s="4" t="s">
        <v>126</v>
      </c>
      <c r="C5" s="4" t="s">
        <v>127</v>
      </c>
      <c r="D5" s="4" t="s">
        <v>32</v>
      </c>
      <c r="E5" s="4">
        <v>18000</v>
      </c>
      <c r="F5" s="4">
        <v>600</v>
      </c>
      <c r="G5" s="4">
        <v>800</v>
      </c>
      <c r="H5" s="4">
        <v>2500</v>
      </c>
      <c r="I5" s="4">
        <v>9000</v>
      </c>
      <c r="J5" s="4">
        <v>30</v>
      </c>
      <c r="K5" s="4">
        <v>180</v>
      </c>
      <c r="L5" s="4">
        <v>1500</v>
      </c>
      <c r="M5" s="4">
        <v>3500</v>
      </c>
      <c r="N5" s="4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72BD7-2277-4F48-8DD9-AEDDF4EBEE7A}">
  <dimension ref="A1:H1048576"/>
  <sheetViews>
    <sheetView tabSelected="1" topLeftCell="A1048547" workbookViewId="0">
      <selection activeCell="B1048576" sqref="B1048576"/>
    </sheetView>
  </sheetViews>
  <sheetFormatPr baseColWidth="10" defaultRowHeight="14.4" x14ac:dyDescent="0.3"/>
  <cols>
    <col min="4" max="4" width="15.33203125" customWidth="1"/>
    <col min="6" max="7" width="13.109375" customWidth="1"/>
    <col min="8" max="8" width="23.21875" customWidth="1"/>
  </cols>
  <sheetData>
    <row r="1" spans="1:8" x14ac:dyDescent="0.3">
      <c r="A1" s="5" t="s">
        <v>115</v>
      </c>
      <c r="B1" s="5" t="s">
        <v>5</v>
      </c>
      <c r="C1" s="5" t="s">
        <v>116</v>
      </c>
      <c r="D1" s="5" t="s">
        <v>117</v>
      </c>
      <c r="E1" s="5" t="s">
        <v>9</v>
      </c>
      <c r="F1" s="5" t="s">
        <v>118</v>
      </c>
      <c r="G1" s="7" t="s">
        <v>129</v>
      </c>
      <c r="H1" s="5" t="s">
        <v>135</v>
      </c>
    </row>
    <row r="2" spans="1:8" x14ac:dyDescent="0.3">
      <c r="A2" s="6" t="s">
        <v>119</v>
      </c>
      <c r="B2" s="6" t="s">
        <v>103</v>
      </c>
      <c r="C2" s="6">
        <v>7500</v>
      </c>
      <c r="D2" s="6">
        <v>1700</v>
      </c>
      <c r="E2" s="6">
        <v>300</v>
      </c>
      <c r="F2" s="6">
        <v>7450</v>
      </c>
      <c r="G2" s="8">
        <v>72.5</v>
      </c>
      <c r="H2" s="6" t="s">
        <v>136</v>
      </c>
    </row>
    <row r="3" spans="1:8" x14ac:dyDescent="0.3">
      <c r="A3" s="6" t="s">
        <v>120</v>
      </c>
      <c r="B3" s="6" t="s">
        <v>103</v>
      </c>
      <c r="C3" s="6">
        <v>2500</v>
      </c>
      <c r="D3" s="6">
        <v>1800</v>
      </c>
      <c r="E3" s="6">
        <v>178</v>
      </c>
      <c r="F3" s="6">
        <v>6913</v>
      </c>
      <c r="G3" s="8">
        <v>42.8</v>
      </c>
      <c r="H3" s="6" t="s">
        <v>137</v>
      </c>
    </row>
    <row r="4" spans="1:8" x14ac:dyDescent="0.3">
      <c r="A4" s="6" t="s">
        <v>121</v>
      </c>
      <c r="B4" s="6" t="s">
        <v>103</v>
      </c>
      <c r="C4" s="6">
        <v>9000</v>
      </c>
      <c r="D4" s="6">
        <v>1400</v>
      </c>
      <c r="E4" s="6">
        <v>315</v>
      </c>
      <c r="F4" s="6">
        <v>7326</v>
      </c>
      <c r="G4" s="8">
        <v>73</v>
      </c>
      <c r="H4" s="6" t="s">
        <v>138</v>
      </c>
    </row>
    <row r="5" spans="1:8" x14ac:dyDescent="0.3">
      <c r="A5" s="6" t="s">
        <v>122</v>
      </c>
      <c r="B5" s="6" t="s">
        <v>104</v>
      </c>
      <c r="C5" s="6">
        <v>7500</v>
      </c>
      <c r="D5" s="6">
        <v>2850</v>
      </c>
      <c r="E5" s="6">
        <v>500</v>
      </c>
      <c r="F5" s="6">
        <v>9102</v>
      </c>
      <c r="G5" s="8">
        <v>72.5</v>
      </c>
      <c r="H5" s="6" t="s">
        <v>136</v>
      </c>
    </row>
    <row r="6" spans="1:8" x14ac:dyDescent="0.3">
      <c r="A6" s="6" t="s">
        <v>123</v>
      </c>
      <c r="B6" s="6" t="s">
        <v>104</v>
      </c>
      <c r="C6" s="6">
        <v>2800</v>
      </c>
      <c r="D6" s="6">
        <v>3200</v>
      </c>
      <c r="E6" s="6">
        <v>337</v>
      </c>
      <c r="F6" s="6">
        <v>11543</v>
      </c>
      <c r="G6" s="8">
        <v>45.1</v>
      </c>
      <c r="H6" s="6" t="s">
        <v>137</v>
      </c>
    </row>
    <row r="7" spans="1:8" x14ac:dyDescent="0.3">
      <c r="A7" s="6" t="s">
        <v>124</v>
      </c>
      <c r="B7" s="6" t="s">
        <v>104</v>
      </c>
      <c r="C7" s="6">
        <v>9000</v>
      </c>
      <c r="D7" s="6">
        <v>2500</v>
      </c>
      <c r="E7" s="6">
        <v>523</v>
      </c>
      <c r="F7" s="6">
        <v>6078</v>
      </c>
      <c r="G7" s="8">
        <v>73</v>
      </c>
      <c r="H7" s="6" t="s">
        <v>138</v>
      </c>
    </row>
    <row r="8" spans="1:8" x14ac:dyDescent="0.3">
      <c r="A8" s="6" t="s">
        <v>125</v>
      </c>
      <c r="B8" s="6" t="s">
        <v>105</v>
      </c>
      <c r="C8" s="6">
        <v>7500</v>
      </c>
      <c r="D8" s="6">
        <v>3100</v>
      </c>
      <c r="E8" s="6">
        <v>542</v>
      </c>
      <c r="F8" s="6">
        <v>9756</v>
      </c>
      <c r="G8" s="8">
        <v>72.7</v>
      </c>
      <c r="H8" s="6" t="s">
        <v>136</v>
      </c>
    </row>
    <row r="9" spans="1:8" x14ac:dyDescent="0.3">
      <c r="A9" s="6" t="s">
        <v>130</v>
      </c>
      <c r="B9" s="6" t="s">
        <v>105</v>
      </c>
      <c r="C9" s="6">
        <v>2800</v>
      </c>
      <c r="D9" s="6">
        <v>3600</v>
      </c>
      <c r="E9" s="6">
        <v>379</v>
      </c>
      <c r="F9" s="6">
        <v>12946</v>
      </c>
      <c r="G9" s="8">
        <v>45</v>
      </c>
      <c r="H9" s="6" t="s">
        <v>137</v>
      </c>
    </row>
    <row r="10" spans="1:8" x14ac:dyDescent="0.3">
      <c r="A10" s="6" t="s">
        <v>131</v>
      </c>
      <c r="B10" s="6" t="s">
        <v>105</v>
      </c>
      <c r="C10" s="6">
        <v>9000</v>
      </c>
      <c r="D10" s="6">
        <v>2800</v>
      </c>
      <c r="E10" s="6">
        <v>585</v>
      </c>
      <c r="F10" s="6">
        <v>6828</v>
      </c>
      <c r="G10" s="8">
        <v>73</v>
      </c>
      <c r="H10" s="6" t="s">
        <v>138</v>
      </c>
    </row>
    <row r="11" spans="1:8" x14ac:dyDescent="0.3">
      <c r="A11" s="6" t="s">
        <v>132</v>
      </c>
      <c r="B11" s="6" t="s">
        <v>106</v>
      </c>
      <c r="C11" s="6">
        <v>7500</v>
      </c>
      <c r="D11" s="6">
        <v>3400</v>
      </c>
      <c r="E11" s="6">
        <v>596</v>
      </c>
      <c r="F11" s="6">
        <v>10804</v>
      </c>
      <c r="G11" s="8">
        <v>72.5</v>
      </c>
      <c r="H11" s="6" t="s">
        <v>136</v>
      </c>
    </row>
    <row r="12" spans="1:8" x14ac:dyDescent="0.3">
      <c r="A12" s="6" t="s">
        <v>133</v>
      </c>
      <c r="B12" s="6" t="s">
        <v>106</v>
      </c>
      <c r="C12" s="6">
        <v>2800</v>
      </c>
      <c r="D12" s="6">
        <v>3800</v>
      </c>
      <c r="E12" s="6">
        <v>405</v>
      </c>
      <c r="F12" s="6">
        <v>13852</v>
      </c>
      <c r="G12" s="8">
        <v>45.1</v>
      </c>
      <c r="H12" s="6" t="s">
        <v>137</v>
      </c>
    </row>
    <row r="13" spans="1:8" x14ac:dyDescent="0.3">
      <c r="A13" s="6" t="s">
        <v>134</v>
      </c>
      <c r="B13" s="6" t="s">
        <v>106</v>
      </c>
      <c r="C13" s="6">
        <v>9000</v>
      </c>
      <c r="D13" s="6">
        <v>3100</v>
      </c>
      <c r="E13" s="6">
        <v>650</v>
      </c>
      <c r="F13" s="6">
        <v>7715</v>
      </c>
      <c r="G13" s="8">
        <v>73.2</v>
      </c>
      <c r="H13" s="6" t="s">
        <v>138</v>
      </c>
    </row>
    <row r="1048576" spans="2:2" x14ac:dyDescent="0.3">
      <c r="B1048576" s="6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selection activeCell="G4" sqref="G4"/>
    </sheetView>
  </sheetViews>
  <sheetFormatPr baseColWidth="10" defaultColWidth="8.88671875" defaultRowHeight="14.4" x14ac:dyDescent="0.3"/>
  <cols>
    <col min="2" max="2" width="16.44140625" customWidth="1"/>
    <col min="3" max="3" width="11.109375" bestFit="1" customWidth="1"/>
    <col min="4" max="4" width="14" customWidth="1"/>
    <col min="5" max="5" width="12.109375" customWidth="1"/>
    <col min="6" max="6" width="14.44140625" bestFit="1" customWidth="1"/>
    <col min="7" max="7" width="15.109375" bestFit="1" customWidth="1"/>
  </cols>
  <sheetData>
    <row r="1" spans="1:7" x14ac:dyDescent="0.3">
      <c r="A1" t="s">
        <v>19</v>
      </c>
      <c r="B1" t="s">
        <v>13</v>
      </c>
      <c r="C1" t="s">
        <v>9</v>
      </c>
      <c r="D1" t="s">
        <v>60</v>
      </c>
      <c r="E1" t="s">
        <v>61</v>
      </c>
      <c r="F1" t="s">
        <v>63</v>
      </c>
      <c r="G1" t="s">
        <v>17</v>
      </c>
    </row>
    <row r="2" spans="1:7" x14ac:dyDescent="0.3">
      <c r="A2" t="s">
        <v>55</v>
      </c>
      <c r="B2" t="s">
        <v>58</v>
      </c>
      <c r="C2">
        <v>600</v>
      </c>
      <c r="D2">
        <v>480</v>
      </c>
      <c r="E2">
        <v>480</v>
      </c>
      <c r="F2">
        <v>70000</v>
      </c>
      <c r="G2" t="s">
        <v>64</v>
      </c>
    </row>
    <row r="3" spans="1:7" x14ac:dyDescent="0.3">
      <c r="A3" t="s">
        <v>56</v>
      </c>
      <c r="B3" t="s">
        <v>59</v>
      </c>
      <c r="C3">
        <v>600</v>
      </c>
      <c r="D3">
        <v>480</v>
      </c>
      <c r="E3">
        <v>480</v>
      </c>
      <c r="F3">
        <v>71000</v>
      </c>
      <c r="G3" t="s">
        <v>64</v>
      </c>
    </row>
    <row r="4" spans="1:7" x14ac:dyDescent="0.3">
      <c r="A4" t="s">
        <v>57</v>
      </c>
      <c r="B4" t="s">
        <v>62</v>
      </c>
      <c r="C4">
        <v>600</v>
      </c>
      <c r="D4">
        <v>480</v>
      </c>
      <c r="E4">
        <v>480</v>
      </c>
      <c r="F4">
        <v>84000</v>
      </c>
      <c r="G4" t="s">
        <v>65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G3" sqref="G3:G4"/>
    </sheetView>
  </sheetViews>
  <sheetFormatPr baseColWidth="10" defaultColWidth="8.88671875" defaultRowHeight="14.4" x14ac:dyDescent="0.3"/>
  <cols>
    <col min="2" max="2" width="17" bestFit="1" customWidth="1"/>
    <col min="3" max="3" width="12.21875" customWidth="1"/>
    <col min="6" max="6" width="15.77734375" customWidth="1"/>
    <col min="7" max="7" width="14.5546875" customWidth="1"/>
  </cols>
  <sheetData>
    <row r="1" spans="1:7" x14ac:dyDescent="0.3">
      <c r="A1" t="s">
        <v>12</v>
      </c>
      <c r="B1" t="s">
        <v>13</v>
      </c>
      <c r="C1" t="s">
        <v>9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">
      <c r="A2" t="s">
        <v>66</v>
      </c>
      <c r="B2" t="s">
        <v>69</v>
      </c>
      <c r="C2">
        <v>400</v>
      </c>
      <c r="D2" t="s">
        <v>70</v>
      </c>
      <c r="E2">
        <v>480</v>
      </c>
      <c r="F2">
        <v>45000</v>
      </c>
      <c r="G2" t="s">
        <v>71</v>
      </c>
    </row>
    <row r="3" spans="1:7" x14ac:dyDescent="0.3">
      <c r="A3" t="s">
        <v>67</v>
      </c>
      <c r="B3" t="s">
        <v>69</v>
      </c>
      <c r="C3">
        <v>600</v>
      </c>
      <c r="D3" t="s">
        <v>70</v>
      </c>
      <c r="E3">
        <v>480</v>
      </c>
      <c r="F3">
        <v>55000</v>
      </c>
      <c r="G3" t="s">
        <v>71</v>
      </c>
    </row>
    <row r="4" spans="1:7" x14ac:dyDescent="0.3">
      <c r="A4" t="s">
        <v>68</v>
      </c>
      <c r="B4" t="s">
        <v>69</v>
      </c>
      <c r="C4">
        <v>800</v>
      </c>
      <c r="D4" t="s">
        <v>70</v>
      </c>
      <c r="E4">
        <v>480</v>
      </c>
      <c r="F4">
        <v>65000</v>
      </c>
      <c r="G4" t="s">
        <v>71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F4" sqref="F4"/>
    </sheetView>
  </sheetViews>
  <sheetFormatPr baseColWidth="10" defaultColWidth="8.88671875" defaultRowHeight="14.4" x14ac:dyDescent="0.3"/>
  <cols>
    <col min="3" max="4" width="15.5546875" customWidth="1"/>
    <col min="5" max="5" width="16.77734375" customWidth="1"/>
    <col min="6" max="6" width="19.44140625" customWidth="1"/>
  </cols>
  <sheetData>
    <row r="1" spans="1:6" x14ac:dyDescent="0.3">
      <c r="A1" t="s">
        <v>18</v>
      </c>
      <c r="B1" t="s">
        <v>13</v>
      </c>
      <c r="C1" t="s">
        <v>14</v>
      </c>
      <c r="D1" s="4" t="s">
        <v>9</v>
      </c>
      <c r="E1" s="4" t="s">
        <v>16</v>
      </c>
      <c r="F1" t="s">
        <v>17</v>
      </c>
    </row>
    <row r="2" spans="1:6" x14ac:dyDescent="0.3">
      <c r="A2" t="s">
        <v>72</v>
      </c>
      <c r="B2" t="s">
        <v>75</v>
      </c>
      <c r="C2" t="s">
        <v>76</v>
      </c>
      <c r="D2" s="4">
        <v>600</v>
      </c>
      <c r="E2" s="4">
        <v>2560</v>
      </c>
      <c r="F2" t="s">
        <v>79</v>
      </c>
    </row>
    <row r="3" spans="1:6" x14ac:dyDescent="0.3">
      <c r="A3" t="s">
        <v>73</v>
      </c>
      <c r="B3" t="s">
        <v>77</v>
      </c>
      <c r="C3" t="s">
        <v>78</v>
      </c>
      <c r="D3" s="4">
        <v>600</v>
      </c>
      <c r="E3" s="4">
        <v>2582</v>
      </c>
      <c r="F3" t="s">
        <v>79</v>
      </c>
    </row>
    <row r="4" spans="1:6" x14ac:dyDescent="0.3">
      <c r="A4" t="s">
        <v>74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E344F-B21F-45B1-BD6C-FB66A846B49C}">
  <dimension ref="A1:J5"/>
  <sheetViews>
    <sheetView workbookViewId="0">
      <selection activeCell="B5" sqref="B5"/>
    </sheetView>
  </sheetViews>
  <sheetFormatPr baseColWidth="10" defaultRowHeight="14.4" x14ac:dyDescent="0.3"/>
  <cols>
    <col min="3" max="3" width="15.33203125" bestFit="1" customWidth="1"/>
    <col min="6" max="7" width="15.33203125" bestFit="1" customWidth="1"/>
  </cols>
  <sheetData>
    <row r="1" spans="1:10" x14ac:dyDescent="0.3">
      <c r="A1" t="s">
        <v>28</v>
      </c>
      <c r="B1" t="s">
        <v>29</v>
      </c>
      <c r="C1" t="s">
        <v>43</v>
      </c>
      <c r="D1" t="s">
        <v>38</v>
      </c>
      <c r="E1" t="s">
        <v>41</v>
      </c>
      <c r="F1" t="s">
        <v>43</v>
      </c>
      <c r="G1" t="s">
        <v>44</v>
      </c>
      <c r="I1" t="s">
        <v>80</v>
      </c>
      <c r="J1">
        <v>3800</v>
      </c>
    </row>
    <row r="2" spans="1:10" x14ac:dyDescent="0.3">
      <c r="A2" t="s">
        <v>30</v>
      </c>
      <c r="B2" t="s">
        <v>34</v>
      </c>
      <c r="C2" s="1">
        <f>65000000/$J$1</f>
        <v>17105.263157894737</v>
      </c>
      <c r="D2" t="s">
        <v>39</v>
      </c>
      <c r="E2" t="s">
        <v>42</v>
      </c>
      <c r="F2" s="1">
        <f>24000000/$J$1</f>
        <v>6315.7894736842109</v>
      </c>
      <c r="G2" s="2">
        <f>+F2+C2</f>
        <v>23421.052631578947</v>
      </c>
    </row>
    <row r="3" spans="1:10" x14ac:dyDescent="0.3">
      <c r="A3" t="s">
        <v>32</v>
      </c>
      <c r="B3" t="s">
        <v>35</v>
      </c>
      <c r="C3" s="1">
        <f t="shared" ref="C3:C5" si="0">65000000/$J$1</f>
        <v>17105.263157894737</v>
      </c>
      <c r="D3" t="s">
        <v>39</v>
      </c>
      <c r="E3" t="s">
        <v>42</v>
      </c>
      <c r="F3" s="1">
        <f t="shared" ref="F3:F4" si="1">24000000/$J$1</f>
        <v>6315.7894736842109</v>
      </c>
      <c r="G3" s="2">
        <f t="shared" ref="G3:G5" si="2">+F3+C3</f>
        <v>23421.052631578947</v>
      </c>
    </row>
    <row r="4" spans="1:10" x14ac:dyDescent="0.3">
      <c r="A4" t="s">
        <v>31</v>
      </c>
      <c r="B4" t="s">
        <v>36</v>
      </c>
      <c r="C4" s="1">
        <f t="shared" si="0"/>
        <v>17105.263157894737</v>
      </c>
      <c r="D4" t="s">
        <v>39</v>
      </c>
      <c r="E4" t="s">
        <v>42</v>
      </c>
      <c r="F4" s="1">
        <f t="shared" si="1"/>
        <v>6315.7894736842109</v>
      </c>
      <c r="G4" s="2">
        <f t="shared" si="2"/>
        <v>23421.052631578947</v>
      </c>
    </row>
    <row r="5" spans="1:10" x14ac:dyDescent="0.3">
      <c r="A5" t="s">
        <v>33</v>
      </c>
      <c r="B5" t="s">
        <v>37</v>
      </c>
      <c r="C5" s="1">
        <f t="shared" si="0"/>
        <v>17105.263157894737</v>
      </c>
      <c r="D5" t="s">
        <v>40</v>
      </c>
      <c r="E5" t="s">
        <v>40</v>
      </c>
      <c r="F5">
        <v>0</v>
      </c>
      <c r="G5" s="2">
        <f t="shared" si="2"/>
        <v>17105.263157894737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workbookViewId="0">
      <selection activeCell="F2" sqref="F2"/>
    </sheetView>
  </sheetViews>
  <sheetFormatPr baseColWidth="10" defaultColWidth="8.88671875" defaultRowHeight="14.4" x14ac:dyDescent="0.3"/>
  <cols>
    <col min="1" max="1" width="12" customWidth="1"/>
    <col min="5" max="5" width="18.5546875" customWidth="1"/>
    <col min="6" max="6" width="17.6640625" customWidth="1"/>
  </cols>
  <sheetData>
    <row r="1" spans="1:6" x14ac:dyDescent="0.3">
      <c r="A1" t="s">
        <v>20</v>
      </c>
      <c r="B1" t="s">
        <v>14</v>
      </c>
      <c r="C1" t="s">
        <v>21</v>
      </c>
      <c r="D1" t="s">
        <v>22</v>
      </c>
      <c r="E1" t="s">
        <v>16</v>
      </c>
      <c r="F1" t="s">
        <v>17</v>
      </c>
    </row>
    <row r="2" spans="1:6" x14ac:dyDescent="0.3">
      <c r="A2" t="s">
        <v>81</v>
      </c>
      <c r="B2" t="s">
        <v>88</v>
      </c>
      <c r="C2" t="s">
        <v>90</v>
      </c>
      <c r="D2">
        <v>150</v>
      </c>
      <c r="F2" s="3" t="s">
        <v>64</v>
      </c>
    </row>
    <row r="3" spans="1:6" x14ac:dyDescent="0.3">
      <c r="A3" t="s">
        <v>82</v>
      </c>
      <c r="B3" t="s">
        <v>88</v>
      </c>
      <c r="C3" t="s">
        <v>91</v>
      </c>
      <c r="D3">
        <v>150</v>
      </c>
      <c r="F3" s="3" t="s">
        <v>64</v>
      </c>
    </row>
    <row r="4" spans="1:6" x14ac:dyDescent="0.3">
      <c r="A4" t="s">
        <v>83</v>
      </c>
      <c r="B4" t="s">
        <v>88</v>
      </c>
      <c r="C4" t="s">
        <v>92</v>
      </c>
      <c r="D4">
        <v>150</v>
      </c>
      <c r="F4" s="3" t="s">
        <v>64</v>
      </c>
    </row>
    <row r="5" spans="1:6" x14ac:dyDescent="0.3">
      <c r="A5" t="s">
        <v>84</v>
      </c>
      <c r="B5" t="s">
        <v>88</v>
      </c>
      <c r="C5" t="s">
        <v>93</v>
      </c>
      <c r="D5">
        <v>150</v>
      </c>
      <c r="F5" s="3" t="s">
        <v>64</v>
      </c>
    </row>
    <row r="6" spans="1:6" x14ac:dyDescent="0.3">
      <c r="A6" t="s">
        <v>85</v>
      </c>
      <c r="B6" t="s">
        <v>89</v>
      </c>
      <c r="C6" t="s">
        <v>90</v>
      </c>
      <c r="D6">
        <v>1500</v>
      </c>
      <c r="F6" s="3" t="s">
        <v>64</v>
      </c>
    </row>
    <row r="7" spans="1:6" x14ac:dyDescent="0.3">
      <c r="A7" t="s">
        <v>86</v>
      </c>
      <c r="B7" t="s">
        <v>89</v>
      </c>
      <c r="C7" t="s">
        <v>91</v>
      </c>
      <c r="D7">
        <v>1500</v>
      </c>
      <c r="F7" s="3" t="s">
        <v>64</v>
      </c>
    </row>
    <row r="8" spans="1:6" x14ac:dyDescent="0.3">
      <c r="A8" t="s">
        <v>87</v>
      </c>
      <c r="B8" t="s">
        <v>89</v>
      </c>
      <c r="C8" t="s">
        <v>92</v>
      </c>
      <c r="D8">
        <v>1500</v>
      </c>
      <c r="F8" s="3" t="s">
        <v>64</v>
      </c>
    </row>
    <row r="9" spans="1:6" x14ac:dyDescent="0.3">
      <c r="A9" t="s">
        <v>94</v>
      </c>
      <c r="B9" t="s">
        <v>89</v>
      </c>
      <c r="C9" t="s">
        <v>93</v>
      </c>
      <c r="D9">
        <v>1500</v>
      </c>
      <c r="F9" s="3" t="s">
        <v>64</v>
      </c>
    </row>
    <row r="10" spans="1:6" x14ac:dyDescent="0.3">
      <c r="A10" t="s">
        <v>95</v>
      </c>
      <c r="B10" t="s">
        <v>88</v>
      </c>
      <c r="C10" t="s">
        <v>90</v>
      </c>
      <c r="D10">
        <v>300</v>
      </c>
      <c r="F10" s="3" t="s">
        <v>64</v>
      </c>
    </row>
    <row r="11" spans="1:6" x14ac:dyDescent="0.3">
      <c r="A11" t="s">
        <v>96</v>
      </c>
      <c r="B11" t="s">
        <v>88</v>
      </c>
      <c r="C11" t="s">
        <v>91</v>
      </c>
      <c r="D11">
        <v>300</v>
      </c>
      <c r="F11" s="3" t="s">
        <v>64</v>
      </c>
    </row>
    <row r="12" spans="1:6" x14ac:dyDescent="0.3">
      <c r="A12" t="s">
        <v>97</v>
      </c>
      <c r="B12" t="s">
        <v>88</v>
      </c>
      <c r="C12" t="s">
        <v>92</v>
      </c>
      <c r="D12">
        <v>300</v>
      </c>
      <c r="F12" s="3" t="s">
        <v>64</v>
      </c>
    </row>
    <row r="13" spans="1:6" x14ac:dyDescent="0.3">
      <c r="A13" t="s">
        <v>98</v>
      </c>
      <c r="B13" t="s">
        <v>88</v>
      </c>
      <c r="C13" t="s">
        <v>93</v>
      </c>
      <c r="D13">
        <v>300</v>
      </c>
      <c r="F13" s="3" t="s">
        <v>64</v>
      </c>
    </row>
    <row r="14" spans="1:6" x14ac:dyDescent="0.3">
      <c r="A14" t="s">
        <v>99</v>
      </c>
      <c r="B14" t="s">
        <v>89</v>
      </c>
      <c r="C14" t="s">
        <v>90</v>
      </c>
      <c r="D14">
        <v>2500</v>
      </c>
      <c r="F14" s="3" t="s">
        <v>64</v>
      </c>
    </row>
    <row r="15" spans="1:6" x14ac:dyDescent="0.3">
      <c r="A15" t="s">
        <v>100</v>
      </c>
      <c r="B15" t="s">
        <v>89</v>
      </c>
      <c r="C15" t="s">
        <v>91</v>
      </c>
      <c r="D15">
        <v>2500</v>
      </c>
      <c r="F15" s="3" t="s">
        <v>64</v>
      </c>
    </row>
    <row r="16" spans="1:6" x14ac:dyDescent="0.3">
      <c r="A16" t="s">
        <v>101</v>
      </c>
      <c r="B16" t="s">
        <v>89</v>
      </c>
      <c r="C16" t="s">
        <v>92</v>
      </c>
      <c r="D16">
        <v>2500</v>
      </c>
      <c r="F16" s="3" t="s">
        <v>64</v>
      </c>
    </row>
    <row r="17" spans="1:6" x14ac:dyDescent="0.3">
      <c r="A17" t="s">
        <v>102</v>
      </c>
      <c r="B17" t="s">
        <v>89</v>
      </c>
      <c r="C17" t="s">
        <v>93</v>
      </c>
      <c r="D17">
        <v>2500</v>
      </c>
      <c r="F17" s="3" t="s">
        <v>64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>
      <selection activeCell="D4" sqref="D4"/>
    </sheetView>
  </sheetViews>
  <sheetFormatPr baseColWidth="10" defaultColWidth="8.88671875" defaultRowHeight="14.4" x14ac:dyDescent="0.3"/>
  <cols>
    <col min="1" max="1" width="14.33203125" customWidth="1"/>
    <col min="2" max="2" width="19.77734375" customWidth="1"/>
    <col min="3" max="3" width="15.33203125" customWidth="1"/>
    <col min="4" max="4" width="15.6640625" customWidth="1"/>
  </cols>
  <sheetData>
    <row r="1" spans="1:4" x14ac:dyDescent="0.3">
      <c r="A1" t="s">
        <v>23</v>
      </c>
      <c r="B1" t="s">
        <v>24</v>
      </c>
      <c r="C1" t="s">
        <v>16</v>
      </c>
      <c r="D1" t="s">
        <v>17</v>
      </c>
    </row>
    <row r="2" spans="1:4" x14ac:dyDescent="0.3">
      <c r="A2" t="s">
        <v>107</v>
      </c>
      <c r="B2" t="s">
        <v>112</v>
      </c>
      <c r="C2">
        <v>15000</v>
      </c>
      <c r="D2" t="s">
        <v>64</v>
      </c>
    </row>
    <row r="3" spans="1:4" x14ac:dyDescent="0.3">
      <c r="A3" t="s">
        <v>108</v>
      </c>
      <c r="B3" t="s">
        <v>114</v>
      </c>
      <c r="C3">
        <v>22000</v>
      </c>
      <c r="D3" t="s">
        <v>64</v>
      </c>
    </row>
    <row r="4" spans="1:4" x14ac:dyDescent="0.3">
      <c r="A4" t="s">
        <v>109</v>
      </c>
      <c r="B4" t="s">
        <v>113</v>
      </c>
      <c r="C4">
        <v>28000</v>
      </c>
      <c r="D4" t="s">
        <v>64</v>
      </c>
    </row>
    <row r="5" spans="1:4" x14ac:dyDescent="0.3">
      <c r="A5" t="s">
        <v>110</v>
      </c>
    </row>
    <row r="6" spans="1:4" x14ac:dyDescent="0.3">
      <c r="A6" t="s">
        <v>111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workbookViewId="0"/>
  </sheetViews>
  <sheetFormatPr baseColWidth="10" defaultColWidth="8.88671875" defaultRowHeight="14.4" x14ac:dyDescent="0.3"/>
  <cols>
    <col min="1" max="1" width="12.88671875" customWidth="1"/>
    <col min="2" max="2" width="9.77734375" customWidth="1"/>
  </cols>
  <sheetData>
    <row r="1" spans="1:2" x14ac:dyDescent="0.3">
      <c r="A1" t="s">
        <v>25</v>
      </c>
      <c r="B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clientes</vt:lpstr>
      <vt:lpstr>equipos_base</vt:lpstr>
      <vt:lpstr>curvas_operacion</vt:lpstr>
      <vt:lpstr>variadores</vt:lpstr>
      <vt:lpstr>motores</vt:lpstr>
      <vt:lpstr>acoples</vt:lpstr>
      <vt:lpstr>Camara de empuje</vt:lpstr>
      <vt:lpstr>conexiones</vt:lpstr>
      <vt:lpstr>extras_opcionales</vt:lpstr>
      <vt:lpstr>parametros_generales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OYOLA OIL GAS</cp:lastModifiedBy>
  <dcterms:created xsi:type="dcterms:W3CDTF">2026-04-13T23:35:58Z</dcterms:created>
  <dcterms:modified xsi:type="dcterms:W3CDTF">2026-04-14T03:16:07Z</dcterms:modified>
</cp:coreProperties>
</file>